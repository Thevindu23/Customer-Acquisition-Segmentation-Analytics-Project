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0fc3bc81b43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20e78adcd554197"/>
    <x:sheet xmlns:r="http://schemas.openxmlformats.org/officeDocument/2006/relationships" name="By Country" sheetId="2" r:id="R6009bad7ba0c47a3"/>
    <x:sheet xmlns:r="http://schemas.openxmlformats.org/officeDocument/2006/relationships" name="By Segment" sheetId="3" r:id="Rfc9badae32774c37"/>
    <x:sheet xmlns:r="http://schemas.openxmlformats.org/officeDocument/2006/relationships" name="By Region" sheetId="4" r:id="R7a47aba67dd044f5"/>
    <x:sheet xmlns:r="http://schemas.openxmlformats.org/officeDocument/2006/relationships" name="By Age" sheetId="5" r:id="Re827307283244bb2"/>
    <x:sheet xmlns:r="http://schemas.openxmlformats.org/officeDocument/2006/relationships" name="Data Quality" sheetId="6" r:id="R149bf1028ac043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0"/>
    <x:numFmt numFmtId="202" formatCode="0.0%"/>
    <x:numFmt numFmtId="203" formatCode="0.0"/>
    <x:numFmt numFmtId="204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64748B"/>
      <x:name val="Carlito"/>
    </x:font>
    <x:font>
      <x:b/>
      <x:sz val="11"/>
      <x:color rgb="FF172F55"/>
      <x:name val="Carlito"/>
    </x:font>
    <x:font>
      <x:sz val="11"/>
      <x:color rgb="FF172F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F55"/>
      </x:patternFill>
    </x:fill>
    <x:fill>
      <x:patternFill patternType="solid">
        <x:fgColor rgb="FFEAF1FC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0" fillId="4" borderId="0" xfId="0" applyNumberFormat="1" applyFont="1" applyFill="1" applyBorder="1"/>
    <x:xf numFmtId="0" fontId="0" fillId="4" borderId="0" xfId="0" applyNumberFormat="1" applyFont="1" applyFill="1" applyBorder="1"/>
    <x:xf numFmtId="200" fontId="3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4" borderId="1" xfId="0" applyNumberFormat="1" applyFont="1" applyFill="1" applyBorder="1"/>
    <x:xf numFmtId="0" fontId="0" fillId="4" borderId="1" xfId="0" applyNumberFormat="1" applyFont="1" applyFill="1" applyBorder="1"/>
    <x:xf numFmtId="200" fontId="3" fillId="4" borderId="1" xfId="0" applyNumberFormat="1" applyFont="1" applyFill="1" applyBorder="1"/>
    <x:xf numFmtId="0" fontId="3" fillId="4" borderId="1" xfId="0" applyNumberFormat="1" applyFont="1" applyFill="1" applyBorder="1"/>
    <x:xf numFmtId="201" fontId="0" fillId="4" borderId="0" xfId="0" applyNumberFormat="1" applyFont="1" applyFill="1" applyBorder="1"/>
    <x:xf numFmtId="201" fontId="3" fillId="4" borderId="0" xfId="0" applyNumberFormat="1" applyFont="1" applyFill="1" applyBorder="1"/>
    <x:xf numFmtId="201" fontId="0" fillId="4" borderId="1" xfId="0" applyNumberFormat="1" applyFont="1" applyFill="1" applyBorder="1"/>
    <x:xf numFmtId="201" fontId="3" fillId="4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4" borderId="0" xfId="0" applyNumberFormat="1" applyFont="1" applyFill="1" applyBorder="1"/>
    <x:xf numFmtId="203" fontId="3" fillId="4" borderId="0" xfId="0" applyNumberFormat="1" applyFont="1" applyFill="1" applyBorder="1"/>
    <x:xf numFmtId="203" fontId="0" fillId="4" borderId="1" xfId="0" applyNumberFormat="1" applyFont="1" applyFill="1" applyBorder="1"/>
    <x:xf numFmtId="203" fontId="3" fillId="4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4" borderId="0" xfId="0" applyNumberFormat="1" applyFont="1" applyFill="1" applyBorder="1"/>
    <x:xf numFmtId="204" fontId="3" fillId="4" borderId="0" xfId="0" applyNumberFormat="1" applyFont="1" applyFill="1" applyBorder="1"/>
    <x:xf numFmtId="204" fontId="0" fillId="4" borderId="1" xfId="0" applyNumberFormat="1" applyFont="1" applyFill="1" applyBorder="1"/>
    <x:xf numFmtId="204" fontId="3" fillId="4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de5f39d7646c6" /><Relationship Type="http://schemas.openxmlformats.org/officeDocument/2006/relationships/theme" Target="/xl/theme/theme1.xml" Id="Rbd4219291f8e495a" /><Relationship Type="http://schemas.openxmlformats.org/officeDocument/2006/relationships/sharedStrings" Target="/xl/sharedStrings.xml" Id="R09687ca2527f4c73" /><Relationship Type="http://schemas.openxmlformats.org/officeDocument/2006/relationships/worksheet" Target="/xl/worksheets/sheet1.xml" Id="Rf20e78adcd554197" /><Relationship Type="http://schemas.openxmlformats.org/officeDocument/2006/relationships/worksheet" Target="/xl/worksheets/sheet2.xml" Id="R6009bad7ba0c47a3" /><Relationship Type="http://schemas.openxmlformats.org/officeDocument/2006/relationships/worksheet" Target="/xl/worksheets/sheet3.xml" Id="Rfc9badae32774c37" /><Relationship Type="http://schemas.openxmlformats.org/officeDocument/2006/relationships/worksheet" Target="/xl/worksheets/sheet4.xml" Id="R7a47aba67dd044f5" /><Relationship Type="http://schemas.openxmlformats.org/officeDocument/2006/relationships/worksheet" Target="/xl/worksheets/sheet5.xml" Id="Re827307283244bb2" /><Relationship Type="http://schemas.openxmlformats.org/officeDocument/2006/relationships/worksheet" Target="/xl/worksheets/sheet6.xml" Id="R149bf1028ac043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8cc73a5d7c4464" /><Relationship Type="http://schemas.openxmlformats.org/officeDocument/2006/relationships/chart" Target="/xl/drawings/charts/chart2.xml" Id="R394109eb21114e9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Customer count</c:v>
          </c:tx>
          <c:cat>
            <c:strRef>
              <c:f>'By Country'!$A$5:$A$11</c:f>
              <c:strCache>
                <c:ptCount val="0"/>
              </c:strCache>
            </c:strRef>
          </c:cat>
          <c:val>
            <c:numRef>
              <c:f>'By Country'!$B$5:$B$11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Customer count</c:v>
          </c:tx>
          <c:cat>
            <c:strRef>
              <c:f>'By Segment'!$A$5:$A$8</c:f>
              <c:strCache>
                <c:ptCount val="0"/>
              </c:strCache>
            </c:strRef>
          </c:cat>
          <c:val>
            <c:numRef>
              <c:f>'By Segment'!$B$5:$B$8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8cc73a5d7c4464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4109eb21114e9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00c585f9734db1" /></Relationships>
</file>

<file path=xl/worksheets/sheet1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  <x:col min="13" max="13" width="12.5" hidden="0" customWidth="1"/>
    <x:col min="14" max="14" width="12.5" hidden="0" customWidth="1"/>
  </x:cols>
  <x:sheetData>
    <x:row r="1" ht="28" customHeight="1">
      <x:c r="A1" s="4" t="str">
        <x:v>CUSTOMER ACQUISITION | ANALYTICS SUMMARY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8" customHeight="1">
      <x:c r="A3" s="8" t="str">
        <x:v>25,000-record customer master dataset | Source-derived aggregations | Currency unspecified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 ht="26" customHeight="1">
      <x:c r="A5" s="17" t="str">
        <x:v>CUSTOMERS</x:v>
      </x:c>
      <x:c r="B5" s="17"/>
      <x:c r="C5" s="17"/>
      <x:c r="E5" s="17" t="str">
        <x:v>TOTAL RECORDED COST (UNITS)</x:v>
      </x:c>
      <x:c r="F5" s="17"/>
      <x:c r="G5" s="17"/>
      <x:c r="I5" s="17" t="str">
        <x:v>AVERAGE COST (UNITS)</x:v>
      </x:c>
      <x:c r="J5" s="17"/>
      <x:c r="K5" s="17"/>
    </x:row>
    <x:row r="6" ht="26" customHeight="1">
      <x:c r="A6" s="22" t="n">
        <x:f>SUM('By Country'!B5:B11)</x:f>
        <x:v>25000</x:v>
      </x:c>
      <x:c r="B6" s="23"/>
      <x:c r="C6" s="23"/>
      <x:c r="E6" s="29" t="n">
        <x:f>SUM('By Country'!C5:C11)</x:f>
        <x:v>1053993.76</x:v>
      </x:c>
      <x:c r="F6" s="23"/>
      <x:c r="G6" s="23"/>
      <x:c r="I6" s="29" t="n">
        <x:f>IFERROR(E6/A6,0)</x:f>
        <x:v>42.1597504</x:v>
      </x:c>
      <x:c r="J6" s="23"/>
      <x:c r="K6" s="23"/>
    </x:row>
    <x:row r="7" ht="26" customHeight="1">
      <x:c r="A7" s="23"/>
      <x:c r="B7" s="23"/>
      <x:c r="C7" s="23"/>
      <x:c r="E7" s="23"/>
      <x:c r="F7" s="23"/>
      <x:c r="G7" s="23"/>
      <x:c r="I7" s="23"/>
      <x:c r="J7" s="23"/>
      <x:c r="K7" s="23"/>
    </x:row>
    <x:row r="9" ht="26" customHeight="1">
      <x:c r="A9" s="17" t="str">
        <x:v>AVERAGE CUSTOMER AGE</x:v>
      </x:c>
      <x:c r="B9" s="17"/>
      <x:c r="C9" s="17"/>
      <x:c r="E9" s="17" t="str">
        <x:v>COUNTRIES</x:v>
      </x:c>
      <x:c r="F9" s="17"/>
      <x:c r="G9" s="17"/>
      <x:c r="I9" s="17" t="str">
        <x:v>CUSTOMER SEGMENTS</x:v>
      </x:c>
      <x:c r="J9" s="17"/>
      <x:c r="K9" s="17"/>
    </x:row>
    <x:row r="10" ht="26" customHeight="1">
      <x:c r="A10" s="35" t="n">
        <x:f>SUMPRODUCT('By Age'!B5:B10,'By Age'!F5:F10)/SUM('By Age'!B5:B10)</x:f>
        <x:v>45.90784005039999</x:v>
      </x:c>
      <x:c r="B10" s="23"/>
      <x:c r="C10" s="23"/>
      <x:c r="E10" s="41" t="n">
        <x:f>COUNTA('By Country'!A5:A11)</x:f>
        <x:v>7</x:v>
      </x:c>
      <x:c r="F10" s="23"/>
      <x:c r="G10" s="23"/>
      <x:c r="I10" s="41" t="n">
        <x:f>COUNTA('By Segment'!A5:A8)</x:f>
        <x:v>4</x:v>
      </x:c>
      <x:c r="J10" s="23"/>
      <x:c r="K10" s="23"/>
    </x:row>
    <x:row r="11" ht="26" customHeight="1">
      <x:c r="A11" s="23"/>
      <x:c r="B11" s="23"/>
      <x:c r="C11" s="23"/>
      <x:c r="E11" s="23"/>
      <x:c r="F11" s="23"/>
      <x:c r="G11" s="23"/>
      <x:c r="I11" s="23"/>
      <x:c r="J11" s="23"/>
      <x:c r="K11" s="23"/>
    </x:row>
    <x:row r="13" ht="30" customHeight="1">
      <x:c r="A13" s="3" t="str">
        <x:v>MARKET COMPOSITION  ·  Counts are not ROI or conversion metrics</x:v>
      </x:c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</x:row>
    <x:row r="32" ht="27" customHeight="1">
      <x:c r="A32" s="44" t="str">
        <x:v>NOTES: Postal formats require validation; no dates, channels, revenue or conversion data are provided.</x:v>
      </x:c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</x:row>
  </x:sheetData>
  <x:mergeCells>
    <x:mergeCell ref="A1:N2"/>
    <x:mergeCell ref="A3:N3"/>
    <x:mergeCell ref="A5:C5"/>
    <x:mergeCell ref="A6:C7"/>
    <x:mergeCell ref="E5:G5"/>
    <x:mergeCell ref="E6:G7"/>
    <x:mergeCell ref="I5:K5"/>
    <x:mergeCell ref="I6:K7"/>
    <x:mergeCell ref="A9:C9"/>
    <x:mergeCell ref="A10:C11"/>
    <x:mergeCell ref="E9:G9"/>
    <x:mergeCell ref="E10:G11"/>
    <x:mergeCell ref="I9:K9"/>
    <x:mergeCell ref="I10:K11"/>
    <x:mergeCell ref="A13:N13"/>
    <x:mergeCell ref="A32:N32"/>
  </x:mergeCells>
  <x:pageMargins left="0.7" right="0.7" top="0.75" bottom="0.75" header="0.3" footer="0.3"/>
  <x:drawing xmlns:r="http://schemas.openxmlformats.org/officeDocument/2006/relationships" r:id="R3b00c585f9734db1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2" hidden="0" customWidth="1"/>
    <x:col min="4" max="4" width="21" hidden="0" customWidth="1"/>
    <x:col min="5" max="5" width="22" hidden="0" customWidth="1"/>
    <x:col min="6" max="6" width="14" hidden="0" customWidth="1"/>
    <x:col min="7" max="7" width="17" hidden="0" customWidth="1"/>
    <x:col min="8" max="8" width="17" hidden="0" customWidth="1"/>
  </x:cols>
  <x:sheetData>
    <x:row r="1" ht="38" customHeight="1">
      <x:c r="A1" s="4" t="str">
        <x:v>COUNTRY PROFILE</x:v>
      </x:c>
      <x:c r="B1" s="4"/>
      <x:c r="C1" s="4"/>
      <x:c r="D1" s="4"/>
      <x:c r="E1" s="4"/>
      <x:c r="F1" s="4"/>
      <x:c r="G1" s="4"/>
      <x:c r="H1" s="4"/>
    </x:row>
    <x:row r="2" ht="24" customHeight="1">
      <x:c r="A2" s="8" t="str">
        <x:v>Source: customer_master.csv | Costs have no specified currency | Aggregates are descriptive</x:v>
      </x:c>
      <x:c r="B2" s="8"/>
      <x:c r="C2" s="8"/>
      <x:c r="D2" s="8"/>
      <x:c r="E2" s="8"/>
      <x:c r="F2" s="8"/>
      <x:c r="G2" s="8"/>
      <x:c r="H2" s="8"/>
    </x:row>
    <x:row r="4" ht="30" customHeight="1">
      <x:c r="A4" s="4" t="str">
        <x:v>Category</x:v>
      </x:c>
      <x:c r="B4" s="4" t="str">
        <x:v>Customers</x:v>
      </x:c>
      <x:c r="C4" s="4" t="str">
        <x:v>Total cost (units)</x:v>
      </x:c>
      <x:c r="D4" s="4" t="str">
        <x:v>Mean cost (units)</x:v>
      </x:c>
      <x:c r="E4" s="4" t="str">
        <x:v>Median cost (units)</x:v>
      </x:c>
      <x:c r="F4" s="4" t="str">
        <x:v>Mean age</x:v>
      </x:c>
      <x:c r="G4" s="4" t="str">
        <x:v>Customer share</x:v>
      </x:c>
      <x:c r="H4" s="4" t="str">
        <x:v>Cost share</x:v>
      </x:c>
    </x:row>
    <x:row r="5" ht="23" customHeight="1">
      <x:c r="A5" t="str">
        <x:v>USA</x:v>
      </x:c>
      <x:c r="B5" s="10" t="n">
        <x:v>14925</x:v>
      </x:c>
      <x:c r="C5" s="12" t="n">
        <x:v>628131.77</x:v>
      </x:c>
      <x:c r="D5" s="12" t="n">
        <x:f>IFERROR(C5/B5,0)</x:f>
        <x:v>42.08588073701843</x:v>
      </x:c>
      <x:c r="E5" s="12" t="n">
        <x:v>41.92</x:v>
      </x:c>
      <x:c r="F5" s="12" t="n">
        <x:v>45.92878</x:v>
      </x:c>
      <x:c r="G5" s="14" t="n">
        <x:f>IFERROR(B5/SUM($B$5:$B$11),0)</x:f>
        <x:v>0.597</x:v>
      </x:c>
      <x:c r="H5" s="14" t="n">
        <x:f>IFERROR(C5/SUM($C$5:$C$11),0)</x:f>
        <x:v>0.5959539741487654</x:v>
      </x:c>
    </x:row>
    <x:row r="6" ht="23" customHeight="1">
      <x:c r="A6" t="str">
        <x:v>UK</x:v>
      </x:c>
      <x:c r="B6" s="10" t="n">
        <x:v>3701</x:v>
      </x:c>
      <x:c r="C6" s="12" t="n">
        <x:v>156458.71</x:v>
      </x:c>
      <x:c r="D6" s="12" t="n">
        <x:f>IFERROR(C6/B6,0)</x:f>
        <x:v>42.27471223993515</x:v>
      </x:c>
      <x:c r="E6" s="12" t="n">
        <x:v>42.24</x:v>
      </x:c>
      <x:c r="F6" s="12" t="n">
        <x:v>45.88354</x:v>
      </x:c>
      <x:c r="G6" s="14" t="n">
        <x:f>IFERROR(B6/SUM($B$5:$B$11),0)</x:f>
        <x:v>0.14804</x:v>
      </x:c>
      <x:c r="H6" s="14" t="n">
        <x:f>IFERROR(C6/SUM($C$5:$C$11),0)</x:f>
        <x:v>0.1484436776931203</x:v>
      </x:c>
    </x:row>
    <x:row r="7" ht="23" customHeight="1">
      <x:c r="A7" t="str">
        <x:v>Germany</x:v>
      </x:c>
      <x:c r="B7" s="10" t="n">
        <x:v>2046</x:v>
      </x:c>
      <x:c r="C7" s="12" t="n">
        <x:v>86377.15</x:v>
      </x:c>
      <x:c r="D7" s="12" t="n">
        <x:f>IFERROR(C7/B7,0)</x:f>
        <x:v>42.21757086999022</x:v>
      </x:c>
      <x:c r="E7" s="12" t="n">
        <x:v>42.17</x:v>
      </x:c>
      <x:c r="F7" s="12" t="n">
        <x:v>45.64076</x:v>
      </x:c>
      <x:c r="G7" s="14" t="n">
        <x:f>IFERROR(B7/SUM($B$5:$B$11),0)</x:f>
        <x:v>0.08184</x:v>
      </x:c>
      <x:c r="H7" s="14" t="n">
        <x:f>IFERROR(C7/SUM($C$5:$C$11),0)</x:f>
        <x:v>0.08195224040036062</x:v>
      </x:c>
    </x:row>
    <x:row r="8" ht="23" customHeight="1">
      <x:c r="A8" t="str">
        <x:v>Canada</x:v>
      </x:c>
      <x:c r="B8" s="10" t="n">
        <x:v>1279</x:v>
      </x:c>
      <x:c r="C8" s="12" t="n">
        <x:v>54501.58</x:v>
      </x:c>
      <x:c r="D8" s="12" t="n">
        <x:f>IFERROR(C8/B8,0)</x:f>
        <x:v>42.61265050820954</x:v>
      </x:c>
      <x:c r="E8" s="12" t="n">
        <x:v>42.85</x:v>
      </x:c>
      <x:c r="F8" s="12" t="n">
        <x:v>46.27522</x:v>
      </x:c>
      <x:c r="G8" s="14" t="n">
        <x:f>IFERROR(B8/SUM($B$5:$B$11),0)</x:f>
        <x:v>0.05116</x:v>
      </x:c>
      <x:c r="H8" s="14" t="n">
        <x:f>IFERROR(C8/SUM($C$5:$C$11),0)</x:f>
        <x:v>0.051709585073824345</x:v>
      </x:c>
    </x:row>
    <x:row r="9" ht="23" customHeight="1">
      <x:c r="A9" t="str">
        <x:v>Australia</x:v>
      </x:c>
      <x:c r="B9" s="10" t="n">
        <x:v>1233</x:v>
      </x:c>
      <x:c r="C9" s="12" t="n">
        <x:v>52985.41</x:v>
      </x:c>
      <x:c r="D9" s="12" t="n">
        <x:f>IFERROR(C9/B9,0)</x:f>
        <x:v>42.97275750202758</x:v>
      </x:c>
      <x:c r="E9" s="12" t="n">
        <x:v>42.97</x:v>
      </x:c>
      <x:c r="F9" s="12" t="n">
        <x:v>45.68938</x:v>
      </x:c>
      <x:c r="G9" s="14" t="n">
        <x:f>IFERROR(B9/SUM($B$5:$B$11),0)</x:f>
        <x:v>0.04932</x:v>
      </x:c>
      <x:c r="H9" s="14" t="n">
        <x:f>IFERROR(C9/SUM($C$5:$C$11),0)</x:f>
        <x:v>0.05027108509636718</x:v>
      </x:c>
    </x:row>
    <x:row r="10" ht="23" customHeight="1">
      <x:c r="A10" t="str">
        <x:v>India</x:v>
      </x:c>
      <x:c r="B10" s="10" t="n">
        <x:v>1041</x:v>
      </x:c>
      <x:c r="C10" s="12" t="n">
        <x:v>43546.68</x:v>
      </x:c>
      <x:c r="D10" s="12" t="n">
        <x:f>IFERROR(C10/B10,0)</x:f>
        <x:v>41.83158501440922</x:v>
      </x:c>
      <x:c r="E10" s="12" t="n">
        <x:v>40.83</x:v>
      </x:c>
      <x:c r="F10" s="12" t="n">
        <x:v>46.02498</x:v>
      </x:c>
      <x:c r="G10" s="14" t="n">
        <x:f>IFERROR(B10/SUM($B$5:$B$11),0)</x:f>
        <x:v>0.04164</x:v>
      </x:c>
      <x:c r="H10" s="14" t="n">
        <x:f>IFERROR(C10/SUM($C$5:$C$11),0)</x:f>
        <x:v>0.041315880276179245</x:v>
      </x:c>
    </x:row>
    <x:row r="11" ht="23" customHeight="1">
      <x:c r="A11" t="str">
        <x:v>UAE</x:v>
      </x:c>
      <x:c r="B11" s="10" t="n">
        <x:v>775</x:v>
      </x:c>
      <x:c r="C11" s="12" t="n">
        <x:v>31992.46</x:v>
      </x:c>
      <x:c r="D11" s="12" t="n">
        <x:f>IFERROR(C11/B11,0)</x:f>
        <x:v>41.280593548387095</x:v>
      </x:c>
      <x:c r="E11" s="12" t="n">
        <x:v>40.23</x:v>
      </x:c>
      <x:c r="F11" s="12" t="n">
        <x:v>45.90968</x:v>
      </x:c>
      <x:c r="G11" s="14" t="n">
        <x:f>IFERROR(B11/SUM($B$5:$B$11),0)</x:f>
        <x:v>0.031</x:v>
      </x:c>
      <x:c r="H11" s="14" t="n">
        <x:f>IFERROR(C11/SUM($C$5:$C$11),0)</x:f>
        <x:v>0.030353557311382943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2" hidden="0" customWidth="1"/>
    <x:col min="4" max="4" width="21" hidden="0" customWidth="1"/>
    <x:col min="5" max="5" width="22" hidden="0" customWidth="1"/>
    <x:col min="6" max="6" width="14" hidden="0" customWidth="1"/>
    <x:col min="7" max="7" width="17" hidden="0" customWidth="1"/>
    <x:col min="8" max="8" width="17" hidden="0" customWidth="1"/>
  </x:cols>
  <x:sheetData>
    <x:row r="1" ht="38" customHeight="1">
      <x:c r="A1" s="4" t="str">
        <x:v>CUSTOMER SEGMENTS</x:v>
      </x:c>
      <x:c r="B1" s="4"/>
      <x:c r="C1" s="4"/>
      <x:c r="D1" s="4"/>
      <x:c r="E1" s="4"/>
      <x:c r="F1" s="4"/>
      <x:c r="G1" s="4"/>
      <x:c r="H1" s="4"/>
    </x:row>
    <x:row r="2" ht="24" customHeight="1">
      <x:c r="A2" s="8" t="str">
        <x:v>Source: customer_master.csv | Costs have no specified currency | Aggregates are descriptive</x:v>
      </x:c>
      <x:c r="B2" s="8"/>
      <x:c r="C2" s="8"/>
      <x:c r="D2" s="8"/>
      <x:c r="E2" s="8"/>
      <x:c r="F2" s="8"/>
      <x:c r="G2" s="8"/>
      <x:c r="H2" s="8"/>
    </x:row>
    <x:row r="4" ht="30" customHeight="1">
      <x:c r="A4" s="4" t="str">
        <x:v>Category</x:v>
      </x:c>
      <x:c r="B4" s="4" t="str">
        <x:v>Customers</x:v>
      </x:c>
      <x:c r="C4" s="4" t="str">
        <x:v>Total cost (units)</x:v>
      </x:c>
      <x:c r="D4" s="4" t="str">
        <x:v>Mean cost (units)</x:v>
      </x:c>
      <x:c r="E4" s="4" t="str">
        <x:v>Median cost (units)</x:v>
      </x:c>
      <x:c r="F4" s="4" t="str">
        <x:v>Mean age</x:v>
      </x:c>
      <x:c r="G4" s="4" t="str">
        <x:v>Customer share</x:v>
      </x:c>
      <x:c r="H4" s="4" t="str">
        <x:v>Cost share</x:v>
      </x:c>
    </x:row>
    <x:row r="5" ht="23" customHeight="1">
      <x:c r="A5" t="str">
        <x:v>Consumer</x:v>
      </x:c>
      <x:c r="B5" s="10" t="n">
        <x:v>13638</x:v>
      </x:c>
      <x:c r="C5" s="12" t="n">
        <x:v>576384.01</x:v>
      </x:c>
      <x:c r="D5" s="12" t="n">
        <x:f>IFERROR(C5/B5,0)</x:f>
        <x:v>42.26308916263382</x:v>
      </x:c>
      <x:c r="E5" s="12" t="n">
        <x:v>42.1</x:v>
      </x:c>
      <x:c r="F5" s="12" t="n">
        <x:v>45.88532</x:v>
      </x:c>
      <x:c r="G5" s="14" t="n">
        <x:f>IFERROR(B5/SUM($B$5:$B$8),0)</x:f>
        <x:v>0.54552</x:v>
      </x:c>
      <x:c r="H5" s="14" t="n">
        <x:f>IFERROR(C5/SUM($C$5:$C$8),0)</x:f>
        <x:v>0.5468571369910198</x:v>
      </x:c>
    </x:row>
    <x:row r="6" ht="23" customHeight="1">
      <x:c r="A6" t="str">
        <x:v>Premium</x:v>
      </x:c>
      <x:c r="B6" s="10" t="n">
        <x:v>6301</x:v>
      </x:c>
      <x:c r="C6" s="12" t="n">
        <x:v>264258.98</x:v>
      </x:c>
      <x:c r="D6" s="12" t="n">
        <x:f>IFERROR(C6/B6,0)</x:f>
        <x:v>41.939212823361366</x:v>
      </x:c>
      <x:c r="E6" s="12" t="n">
        <x:v>41.76</x:v>
      </x:c>
      <x:c r="F6" s="12" t="n">
        <x:v>45.69386</x:v>
      </x:c>
      <x:c r="G6" s="14" t="n">
        <x:f>IFERROR(B6/SUM($B$5:$B$8),0)</x:f>
        <x:v>0.25204</x:v>
      </x:c>
      <x:c r="H6" s="14" t="n">
        <x:f>IFERROR(C6/SUM($C$5:$C$8),0)</x:f>
        <x:v>0.25072157922452976</x:v>
      </x:c>
    </x:row>
    <x:row r="7" ht="23" customHeight="1">
      <x:c r="A7" t="str">
        <x:v>VIP</x:v>
      </x:c>
      <x:c r="B7" s="10" t="n">
        <x:v>2542</x:v>
      </x:c>
      <x:c r="C7" s="12" t="n">
        <x:v>106596.11</x:v>
      </x:c>
      <x:c r="D7" s="12" t="n">
        <x:f>IFERROR(C7/B7,0)</x:f>
        <x:v>41.93395357985838</x:v>
      </x:c>
      <x:c r="E7" s="12" t="n">
        <x:v>41.675</x:v>
      </x:c>
      <x:c r="F7" s="12" t="n">
        <x:v>45.84776</x:v>
      </x:c>
      <x:c r="G7" s="14" t="n">
        <x:f>IFERROR(B7/SUM($B$5:$B$8),0)</x:f>
        <x:v>0.10168</x:v>
      </x:c>
      <x:c r="H7" s="14" t="n">
        <x:f>IFERROR(C7/SUM($C$5:$C$8),0)</x:f>
        <x:v>0.10113542797445024</x:v>
      </x:c>
    </x:row>
    <x:row r="8" ht="23" customHeight="1">
      <x:c r="A8" t="str">
        <x:v>Business</x:v>
      </x:c>
      <x:c r="B8" s="10" t="n">
        <x:v>2519</x:v>
      </x:c>
      <x:c r="C8" s="12" t="n">
        <x:v>106754.66</x:v>
      </x:c>
      <x:c r="D8" s="12" t="n">
        <x:f>IFERROR(C8/B8,0)</x:f>
        <x:v>42.37977768955935</x:v>
      </x:c>
      <x:c r="E8" s="12" t="n">
        <x:v>42.23</x:v>
      </x:c>
      <x:c r="F8" s="12" t="n">
        <x:v>46.62565</x:v>
      </x:c>
      <x:c r="G8" s="14" t="n">
        <x:f>IFERROR(B8/SUM($B$5:$B$8),0)</x:f>
        <x:v>0.10076</x:v>
      </x:c>
      <x:c r="H8" s="14" t="n">
        <x:f>IFERROR(C8/SUM($C$5:$C$8),0)</x:f>
        <x:v>0.10128585581000024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2" hidden="0" customWidth="1"/>
    <x:col min="4" max="4" width="21" hidden="0" customWidth="1"/>
    <x:col min="5" max="5" width="22" hidden="0" customWidth="1"/>
    <x:col min="6" max="6" width="14" hidden="0" customWidth="1"/>
    <x:col min="7" max="7" width="17" hidden="0" customWidth="1"/>
    <x:col min="8" max="8" width="17" hidden="0" customWidth="1"/>
  </x:cols>
  <x:sheetData>
    <x:row r="1" ht="38" customHeight="1">
      <x:c r="A1" s="4" t="str">
        <x:v>REGIONAL BREAKDOWN</x:v>
      </x:c>
      <x:c r="B1" s="4"/>
      <x:c r="C1" s="4"/>
      <x:c r="D1" s="4"/>
      <x:c r="E1" s="4"/>
      <x:c r="F1" s="4"/>
      <x:c r="G1" s="4"/>
      <x:c r="H1" s="4"/>
    </x:row>
    <x:row r="2" ht="24" customHeight="1">
      <x:c r="A2" s="8" t="str">
        <x:v>Source: customer_master.csv | Costs have no specified currency | Aggregates are descriptive</x:v>
      </x:c>
      <x:c r="B2" s="8"/>
      <x:c r="C2" s="8"/>
      <x:c r="D2" s="8"/>
      <x:c r="E2" s="8"/>
      <x:c r="F2" s="8"/>
      <x:c r="G2" s="8"/>
      <x:c r="H2" s="8"/>
    </x:row>
    <x:row r="4" ht="30" customHeight="1">
      <x:c r="A4" s="4" t="str">
        <x:v>Category</x:v>
      </x:c>
      <x:c r="B4" s="4" t="str">
        <x:v>Customers</x:v>
      </x:c>
      <x:c r="C4" s="4" t="str">
        <x:v>Total cost (units)</x:v>
      </x:c>
      <x:c r="D4" s="4" t="str">
        <x:v>Mean cost (units)</x:v>
      </x:c>
      <x:c r="E4" s="4" t="str">
        <x:v>Median cost (units)</x:v>
      </x:c>
      <x:c r="F4" s="4" t="str">
        <x:v>Mean age</x:v>
      </x:c>
      <x:c r="G4" s="4" t="str">
        <x:v>Customer share</x:v>
      </x:c>
      <x:c r="H4" s="4" t="str">
        <x:v>Cost share</x:v>
      </x:c>
    </x:row>
    <x:row r="5" ht="23" customHeight="1">
      <x:c r="A5" t="str">
        <x:v>South</x:v>
      </x:c>
      <x:c r="B5" s="10" t="n">
        <x:v>7996</x:v>
      </x:c>
      <x:c r="C5" s="12" t="n">
        <x:v>337709.32</x:v>
      </x:c>
      <x:c r="D5" s="12" t="n">
        <x:f>IFERROR(C5/B5,0)</x:f>
        <x:v>42.2347823911956</x:v>
      </x:c>
      <x:c r="E5" s="12" t="n">
        <x:v>42.01</x:v>
      </x:c>
      <x:c r="F5" s="12" t="n">
        <x:v>46.23324</x:v>
      </x:c>
      <x:c r="G5" s="14" t="n">
        <x:f>IFERROR(B5/SUM($B$5:$B$9),0)</x:f>
        <x:v>0.31984</x:v>
      </x:c>
      <x:c r="H5" s="14" t="n">
        <x:f>IFERROR(C5/SUM($C$5:$C$9),0)</x:f>
        <x:v>0.320409221398047</x:v>
      </x:c>
    </x:row>
    <x:row r="6" ht="23" customHeight="1">
      <x:c r="A6" t="str">
        <x:v>Central</x:v>
      </x:c>
      <x:c r="B6" s="10" t="n">
        <x:v>5358</x:v>
      </x:c>
      <x:c r="C6" s="12" t="n">
        <x:v>225957.22</x:v>
      </x:c>
      <x:c r="D6" s="12" t="n">
        <x:f>IFERROR(C6/B6,0)</x:f>
        <x:v>42.1719335572975</x:v>
      </x:c>
      <x:c r="E6" s="12" t="n">
        <x:v>42.265</x:v>
      </x:c>
      <x:c r="F6" s="12" t="n">
        <x:v>45.76689</x:v>
      </x:c>
      <x:c r="G6" s="14" t="n">
        <x:f>IFERROR(B6/SUM($B$5:$B$9),0)</x:f>
        <x:v>0.21432</x:v>
      </x:c>
      <x:c r="H6" s="14" t="n">
        <x:f>IFERROR(C6/SUM($C$5:$C$9),0)</x:f>
        <x:v>0.21438193334275527</x:v>
      </x:c>
    </x:row>
    <x:row r="7" ht="23" customHeight="1">
      <x:c r="A7" t="str">
        <x:v>West</x:v>
      </x:c>
      <x:c r="B7" s="10" t="n">
        <x:v>4750</x:v>
      </x:c>
      <x:c r="C7" s="12" t="n">
        <x:v>200180.49</x:v>
      </x:c>
      <x:c r="D7" s="12" t="n">
        <x:f>IFERROR(C7/B7,0)</x:f>
        <x:v>42.14326105263158</x:v>
      </x:c>
      <x:c r="E7" s="12" t="n">
        <x:v>41.925</x:v>
      </x:c>
      <x:c r="F7" s="12" t="n">
        <x:v>45.80358</x:v>
      </x:c>
      <x:c r="G7" s="14" t="n">
        <x:f>IFERROR(B7/SUM($B$5:$B$9),0)</x:f>
        <x:v>0.19</x:v>
      </x:c>
      <x:c r="H7" s="14" t="n">
        <x:f>IFERROR(C7/SUM($C$5:$C$9),0)</x:f>
        <x:v>0.18992568798509774</x:v>
      </x:c>
    </x:row>
    <x:row r="8" ht="23" customHeight="1">
      <x:c r="A8" t="str">
        <x:v>East</x:v>
      </x:c>
      <x:c r="B8" s="10" t="n">
        <x:v>3874</x:v>
      </x:c>
      <x:c r="C8" s="12" t="n">
        <x:v>162013.55</x:v>
      </x:c>
      <x:c r="D8" s="12" t="n">
        <x:f>IFERROR(C8/B8,0)</x:f>
        <x:v>41.82074083634486</x:v>
      </x:c>
      <x:c r="E8" s="12" t="n">
        <x:v>41.29</x:v>
      </x:c>
      <x:c r="F8" s="12" t="n">
        <x:v>45.89855</x:v>
      </x:c>
      <x:c r="G8" s="14" t="n">
        <x:f>IFERROR(B8/SUM($B$5:$B$9),0)</x:f>
        <x:v>0.15496</x:v>
      </x:c>
      <x:c r="H8" s="14" t="n">
        <x:f>IFERROR(C8/SUM($C$5:$C$9),0)</x:f>
        <x:v>0.15371395557408232</x:v>
      </x:c>
    </x:row>
    <x:row r="9" ht="23" customHeight="1">
      <x:c r="A9" t="str">
        <x:v>North</x:v>
      </x:c>
      <x:c r="B9" s="10" t="n">
        <x:v>3022</x:v>
      </x:c>
      <x:c r="C9" s="12" t="n">
        <x:v>128133.18</x:v>
      </x:c>
      <x:c r="D9" s="12" t="n">
        <x:f>IFERROR(C9/B9,0)</x:f>
        <x:v>42.400125744540034</x:v>
      </x:c>
      <x:c r="E9" s="12" t="n">
        <x:v>42.145</x:v>
      </x:c>
      <x:c r="F9" s="12" t="n">
        <x:v>45.47253</x:v>
      </x:c>
      <x:c r="G9" s="14" t="n">
        <x:f>IFERROR(B9/SUM($B$5:$B$9),0)</x:f>
        <x:v>0.12088</x:v>
      </x:c>
      <x:c r="H9" s="14" t="n">
        <x:f>IFERROR(C9/SUM($C$5:$C$9),0)</x:f>
        <x:v>0.12156920170001764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2" hidden="0" customWidth="1"/>
    <x:col min="4" max="4" width="21" hidden="0" customWidth="1"/>
    <x:col min="5" max="5" width="22" hidden="0" customWidth="1"/>
    <x:col min="6" max="6" width="14" hidden="0" customWidth="1"/>
    <x:col min="7" max="7" width="17" hidden="0" customWidth="1"/>
    <x:col min="8" max="8" width="17" hidden="0" customWidth="1"/>
  </x:cols>
  <x:sheetData>
    <x:row r="1" ht="38" customHeight="1">
      <x:c r="A1" s="4" t="str">
        <x:v>AGE GROUP PROFILE</x:v>
      </x:c>
      <x:c r="B1" s="4"/>
      <x:c r="C1" s="4"/>
      <x:c r="D1" s="4"/>
      <x:c r="E1" s="4"/>
      <x:c r="F1" s="4"/>
      <x:c r="G1" s="4"/>
      <x:c r="H1" s="4"/>
    </x:row>
    <x:row r="2" ht="24" customHeight="1">
      <x:c r="A2" s="8" t="str">
        <x:v>Source: customer_master.csv | Costs have no specified currency | Aggregates are descriptive</x:v>
      </x:c>
      <x:c r="B2" s="8"/>
      <x:c r="C2" s="8"/>
      <x:c r="D2" s="8"/>
      <x:c r="E2" s="8"/>
      <x:c r="F2" s="8"/>
      <x:c r="G2" s="8"/>
      <x:c r="H2" s="8"/>
    </x:row>
    <x:row r="4" ht="30" customHeight="1">
      <x:c r="A4" s="4" t="str">
        <x:v>Category</x:v>
      </x:c>
      <x:c r="B4" s="4" t="str">
        <x:v>Customers</x:v>
      </x:c>
      <x:c r="C4" s="4" t="str">
        <x:v>Total cost (units)</x:v>
      </x:c>
      <x:c r="D4" s="4" t="str">
        <x:v>Mean cost (units)</x:v>
      </x:c>
      <x:c r="E4" s="4" t="str">
        <x:v>Median cost (units)</x:v>
      </x:c>
      <x:c r="F4" s="4" t="str">
        <x:v>Mean age</x:v>
      </x:c>
      <x:c r="G4" s="4" t="str">
        <x:v>Customer share</x:v>
      </x:c>
      <x:c r="H4" s="4" t="str">
        <x:v>Cost share</x:v>
      </x:c>
    </x:row>
    <x:row r="5" ht="23" customHeight="1">
      <x:c r="A5" t="str">
        <x:v>18–24</x:v>
      </x:c>
      <x:c r="B5" s="10" t="n">
        <x:v>3057</x:v>
      </x:c>
      <x:c r="C5" s="12" t="n">
        <x:v>129300.34</x:v>
      </x:c>
      <x:c r="D5" s="12" t="n">
        <x:f>IFERROR(C5/B5,0)</x:f>
        <x:v>42.29648020935558</x:v>
      </x:c>
      <x:c r="E5" s="12" t="n">
        <x:v>42.78</x:v>
      </x:c>
      <x:c r="F5" s="12" t="n">
        <x:v>20.93687</x:v>
      </x:c>
      <x:c r="G5" s="14" t="n">
        <x:f>IFERROR(B5/SUM($B$5:$B$10),0)</x:f>
        <x:v>0.12228</x:v>
      </x:c>
      <x:c r="H5" s="14" t="n">
        <x:f>IFERROR(C5/SUM($C$5:$C$10),0)</x:f>
        <x:v>0.12267657068482075</x:v>
      </x:c>
    </x:row>
    <x:row r="6" ht="23" customHeight="1">
      <x:c r="A6" t="str">
        <x:v>25–34</x:v>
      </x:c>
      <x:c r="B6" s="10" t="n">
        <x:v>4413</x:v>
      </x:c>
      <x:c r="C6" s="12" t="n">
        <x:v>185057.85</x:v>
      </x:c>
      <x:c r="D6" s="12" t="n">
        <x:f>IFERROR(C6/B6,0)</x:f>
        <x:v>41.934704282800816</x:v>
      </x:c>
      <x:c r="E6" s="12" t="n">
        <x:v>41.37</x:v>
      </x:c>
      <x:c r="F6" s="12" t="n">
        <x:v>29.45003</x:v>
      </x:c>
      <x:c r="G6" s="14" t="n">
        <x:f>IFERROR(B6/SUM($B$5:$B$10),0)</x:f>
        <x:v>0.17652</x:v>
      </x:c>
      <x:c r="H6" s="14" t="n">
        <x:f>IFERROR(C6/SUM($C$5:$C$10),0)</x:f>
        <x:v>0.17557774725345623</x:v>
      </x:c>
    </x:row>
    <x:row r="7" ht="23" customHeight="1">
      <x:c r="A7" t="str">
        <x:v>35–44</x:v>
      </x:c>
      <x:c r="B7" s="10" t="n">
        <x:v>4442</x:v>
      </x:c>
      <x:c r="C7" s="12" t="n">
        <x:v>187233.41</x:v>
      </x:c>
      <x:c r="D7" s="12" t="n">
        <x:f>IFERROR(C7/B7,0)</x:f>
        <x:v>42.15070013507429</x:v>
      </x:c>
      <x:c r="E7" s="12" t="n">
        <x:v>42.185</x:v>
      </x:c>
      <x:c r="F7" s="12" t="n">
        <x:v>39.46601</x:v>
      </x:c>
      <x:c r="G7" s="14" t="n">
        <x:f>IFERROR(B7/SUM($B$5:$B$10),0)</x:f>
        <x:v>0.17768</x:v>
      </x:c>
      <x:c r="H7" s="14" t="n">
        <x:f>IFERROR(C7/SUM($C$5:$C$10),0)</x:f>
        <x:v>0.17764185814534614</x:v>
      </x:c>
    </x:row>
    <x:row r="8" ht="23" customHeight="1">
      <x:c r="A8" t="str">
        <x:v>45–54</x:v>
      </x:c>
      <x:c r="B8" s="10" t="n">
        <x:v>4365</x:v>
      </x:c>
      <x:c r="C8" s="12" t="n">
        <x:v>185491.74</x:v>
      </x:c>
      <x:c r="D8" s="12" t="n">
        <x:f>IFERROR(C8/B8,0)</x:f>
        <x:v>42.495243986254295</x:v>
      </x:c>
      <x:c r="E8" s="12" t="n">
        <x:v>42.22</x:v>
      </x:c>
      <x:c r="F8" s="12" t="n">
        <x:v>49.44078</x:v>
      </x:c>
      <x:c r="G8" s="14" t="n">
        <x:f>IFERROR(B8/SUM($B$5:$B$10),0)</x:f>
        <x:v>0.1746</x:v>
      </x:c>
      <x:c r="H8" s="14" t="n">
        <x:f>IFERROR(C8/SUM($C$5:$C$10),0)</x:f>
        <x:v>0.17598941003218083</x:v>
      </x:c>
    </x:row>
    <x:row r="9" ht="23" customHeight="1">
      <x:c r="A9" t="str">
        <x:v>55–64</x:v>
      </x:c>
      <x:c r="B9" s="10" t="n">
        <x:v>4380</x:v>
      </x:c>
      <x:c r="C9" s="12" t="n">
        <x:v>183506.58</x:v>
      </x:c>
      <x:c r="D9" s="12" t="n">
        <x:f>IFERROR(C9/B9,0)</x:f>
        <x:v>41.89647945205479</x:v>
      </x:c>
      <x:c r="E9" s="12" t="n">
        <x:v>41.76</x:v>
      </x:c>
      <x:c r="F9" s="12" t="n">
        <x:v>59.49338</x:v>
      </x:c>
      <x:c r="G9" s="14" t="n">
        <x:f>IFERROR(B9/SUM($B$5:$B$10),0)</x:f>
        <x:v>0.1752</x:v>
      </x:c>
      <x:c r="H9" s="14" t="n">
        <x:f>IFERROR(C9/SUM($C$5:$C$10),0)</x:f>
        <x:v>0.17410594537106178</x:v>
      </x:c>
    </x:row>
    <x:row r="10" ht="23" customHeight="1">
      <x:c r="A10" t="str">
        <x:v>65+</x:v>
      </x:c>
      <x:c r="B10" s="10" t="n">
        <x:v>4343</x:v>
      </x:c>
      <x:c r="C10" s="12" t="n">
        <x:v>183403.84</x:v>
      </x:c>
      <x:c r="D10" s="12" t="n">
        <x:f>IFERROR(C10/B10,0)</x:f>
        <x:v>42.22975823163711</x:v>
      </x:c>
      <x:c r="E10" s="12" t="n">
        <x:v>41.77</x:v>
      </x:c>
      <x:c r="F10" s="12" t="n">
        <x:v>69.54432</x:v>
      </x:c>
      <x:c r="G10" s="14" t="n">
        <x:f>IFERROR(B10/SUM($B$5:$B$10),0)</x:f>
        <x:v>0.17372</x:v>
      </x:c>
      <x:c r="H10" s="14" t="n">
        <x:f>IFERROR(C10/SUM($C$5:$C$10),0)</x:f>
        <x:v>0.17400846851313426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20" hidden="0" customWidth="1"/>
    <x:col min="3" max="3" width="54" hidden="0" customWidth="1"/>
  </x:cols>
  <x:sheetData>
    <x:row r="1" ht="39" customHeight="1">
      <x:c r="A1" s="3" t="str">
        <x:v>DATA QUALITY | REVIEW REGISTER</x:v>
      </x:c>
      <x:c r="B1" s="3"/>
      <x:c r="C1" s="3"/>
      <x:c r="D1" s="3"/>
      <x:c r="E1" s="3"/>
      <x:c r="F1" s="3"/>
    </x:row>
    <x:row r="2" ht="27" customHeight="1">
      <x:c r="A2" s="8" t="str">
        <x:v>Format checks do not validate existence or geographic matching.</x:v>
      </x:c>
      <x:c r="B2" s="8"/>
      <x:c r="C2" s="8"/>
      <x:c r="D2" s="8"/>
      <x:c r="E2" s="8"/>
      <x:c r="F2" s="8"/>
    </x:row>
    <x:row r="4" ht="30" customHeight="1">
      <x:c r="A4" s="4" t="str">
        <x:v>Check</x:v>
      </x:c>
      <x:c r="B4" s="4" t="str">
        <x:v>Result</x:v>
      </x:c>
      <x:c r="C4" s="4" t="str">
        <x:v>Interpretation</x:v>
      </x:c>
    </x:row>
    <x:row r="5" ht="23" customHeight="1">
      <x:c r="A5" t="str">
        <x:v>Rows reviewed</x:v>
      </x:c>
      <x:c r="B5" t="n">
        <x:v>25000</x:v>
      </x:c>
      <x:c r="C5" t="str">
        <x:v>Source row count</x:v>
      </x:c>
    </x:row>
    <x:row r="6" ht="23" customHeight="1">
      <x:c r="A6" t="str">
        <x:v>Missing cells</x:v>
      </x:c>
      <x:c r="B6" t="n">
        <x:v>0</x:v>
      </x:c>
      <x:c r="C6" t="str">
        <x:v>No missing source cells</x:v>
      </x:c>
    </x:row>
    <x:row r="7" ht="23" customHeight="1">
      <x:c r="A7" t="str">
        <x:v>Duplicate customer IDs</x:v>
      </x:c>
      <x:c r="B7" t="n">
        <x:v>0</x:v>
      </x:c>
      <x:c r="C7" t="str">
        <x:v>Unique ID integrity preserved</x:v>
      </x:c>
    </x:row>
    <x:row r="8" ht="23" customHeight="1">
      <x:c r="A8" t="str">
        <x:v>Invalid ages</x:v>
      </x:c>
      <x:c r="B8" t="n">
        <x:v>0</x:v>
      </x:c>
      <x:c r="C8" t="str">
        <x:v>Expected range: 18 to 110</x:v>
      </x:c>
    </x:row>
    <x:row r="9" ht="23" customHeight="1">
      <x:c r="A9" t="str">
        <x:v>Negative acquisition costs</x:v>
      </x:c>
      <x:c r="B9" t="n">
        <x:v>0</x:v>
      </x:c>
      <x:c r="C9" t="str">
        <x:v>Negative values require review</x:v>
      </x:c>
    </x:row>
    <x:row r="10" ht="23" customHeight="1">
      <x:c r="A10" t="str">
        <x:v>Postal-format mismatches</x:v>
      </x:c>
      <x:c r="B10" t="n">
        <x:v>7254</x:v>
      </x:c>
      <x:c r="C10" t="str">
        <x:v>Basic pattern screening only</x:v>
      </x:c>
    </x:row>
    <x:row r="11" ht="23" customHeight="1"/>
    <x:row r="12" ht="23" customHeight="1">
      <x:c r="A12" s="4" t="str">
        <x:v>Country</x:v>
      </x:c>
      <x:c r="B12" s="4" t="str">
        <x:v>Rows tested</x:v>
      </x:c>
      <x:c r="C12" s="4" t="str">
        <x:v>Format mismatches</x:v>
      </x:c>
    </x:row>
    <x:row r="13" ht="23" customHeight="1">
      <x:c r="A13" t="str">
        <x:v>Australia</x:v>
      </x:c>
      <x:c r="B13" t="n">
        <x:v>1233</x:v>
      </x:c>
      <x:c r="C13" t="n">
        <x:v>1233</x:v>
      </x:c>
    </x:row>
    <x:row r="14" ht="23" customHeight="1">
      <x:c r="A14" t="str">
        <x:v>Canada</x:v>
      </x:c>
      <x:c r="B14" t="n">
        <x:v>1279</x:v>
      </x:c>
      <x:c r="C14" t="n">
        <x:v>1279</x:v>
      </x:c>
    </x:row>
    <x:row r="15" ht="23" customHeight="1">
      <x:c r="A15" t="str">
        <x:v>Germany</x:v>
      </x:c>
      <x:c r="B15" t="n">
        <x:v>2046</x:v>
      </x:c>
      <x:c r="C15" t="n">
        <x:v>0</x:v>
      </x:c>
    </x:row>
    <x:row r="16" ht="23" customHeight="1">
      <x:c r="A16" t="str">
        <x:v>India</x:v>
      </x:c>
      <x:c r="B16" t="n">
        <x:v>1041</x:v>
      </x:c>
      <x:c r="C16" t="n">
        <x:v>1041</x:v>
      </x:c>
    </x:row>
    <x:row r="17" ht="23" customHeight="1">
      <x:c r="A17" t="str">
        <x:v>UK</x:v>
      </x:c>
      <x:c r="B17" t="n">
        <x:v>3701</x:v>
      </x:c>
      <x:c r="C17" t="n">
        <x:v>3701</x:v>
      </x:c>
    </x:row>
    <x:row r="18" ht="23" customHeight="1">
      <x:c r="A18" t="str">
        <x:v>USA</x:v>
      </x:c>
      <x:c r="B18" t="n">
        <x:v>14925</x:v>
      </x:c>
      <x:c r="C18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